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9d1af7901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c2ea096c81e14d09"/>
    <x:sheet xmlns:r="http://schemas.openxmlformats.org/officeDocument/2006/relationships" name="Sources" sheetId="2" r:id="R69caba39022c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0"/>
    <x:numFmt numFmtId="202" formatCode="#,##0.00"/>
    <x:numFmt numFmtId="203" formatCode="#,##0"/>
  </x:numFmts>
  <x:fonts count="10">
    <x:font>
      <x:sz val="11"/>
      <x:name val="Carlito"/>
    </x:font>
    <x:font>
      <x:b/>
      <x:sz val="16"/>
      <x:color rgb="FF243B53"/>
      <x:name val="Arial"/>
    </x:font>
    <x:font>
      <x:i/>
      <x:sz val="10"/>
      <x:color rgb="FF52606D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1"/>
      <x:color rgb="FF243B53"/>
      <x:name val="Arial"/>
    </x:font>
    <x:font>
      <x:b/>
      <x:sz val="10"/>
      <x:color rgb="FF243B53"/>
      <x:name val="Arial"/>
    </x:font>
    <x:font>
      <x:sz val="10"/>
      <x:color rgb="FF1F2933"/>
      <x:name val="Arial"/>
    </x:font>
    <x:font>
      <x:sz val="9"/>
      <x:color rgb="FF1F2933"/>
      <x:name val="Arial"/>
    </x:font>
    <x:font>
      <x:b/>
      <x:sz val="9"/>
      <x:color rgb="FF243B5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CEAF7"/>
      </x:patternFill>
    </x:fill>
    <x:fill>
      <x:patternFill patternType="solid">
        <x:fgColor rgb="FFEEF5FB"/>
      </x:patternFill>
    </x:fill>
    <x:fill>
      <x:patternFill patternType="solid">
        <x:fgColor rgb="FFF3F5F7"/>
      </x:patternFill>
    </x:fill>
  </x:fills>
  <x:borders count="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5" fillId="3" borderId="3" xfId="0" applyNumberFormat="1" applyFont="1" applyFill="1" applyBorder="1" applyAlignment="1">
      <x:alignment vertical="center"/>
    </x:xf>
    <x:xf numFmtId="200" fontId="6" fillId="4" borderId="3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5" fillId="3" borderId="3" xfId="0" applyNumberFormat="1" applyFont="1" applyFill="1" applyBorder="1" applyAlignment="1">
      <x:alignment vertical="center"/>
    </x:xf>
    <x:xf numFmtId="201" fontId="6" fillId="4" borderId="3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5" fillId="3" borderId="3" xfId="0" applyNumberFormat="1" applyFont="1" applyFill="1" applyBorder="1" applyAlignment="1">
      <x:alignment vertical="center"/>
    </x:xf>
    <x:xf numFmtId="202" fontId="6" fillId="4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/>
    <x:xf numFmtId="0" fontId="7" fillId="0" borderId="3" xfId="0" applyNumberFormat="1" applyFont="1" applyFill="1" applyBorder="1"/>
    <x:xf numFmtId="201" fontId="7" fillId="0" borderId="5" xfId="0" applyNumberFormat="1" applyFont="1" applyFill="1" applyBorder="1"/>
    <x:xf numFmtId="201" fontId="7" fillId="0" borderId="3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203" fontId="7" fillId="0" borderId="3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201" fontId="8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7" fillId="0" borderId="5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B2C2C"/>
      </x:font>
      <x:fill>
        <x:patternFill patternType="solid">
          <x:bgColor rgb="FFFCE4D6"/>
        </x:patternFill>
      </x:fill>
    </x:dxf>
    <x:dxf>
      <x:font>
        <x:b/>
        <x:color rgb="FF9B2C2C"/>
      </x:font>
      <x:fill>
        <x:patternFill patternType="solid">
          <x:bgColor rgb="FFFCE4D6"/>
        </x:patternFill>
      </x:fill>
    </x:dxf>
    <x:dxf>
      <x:font>
        <x:b/>
        <x:color rgb="FF7C5A00"/>
      </x:font>
      <x:fill>
        <x:patternFill patternType="solid">
          <x:bgColor rgb="FFFFF2CC"/>
        </x:patternFill>
      </x:fill>
    </x:dxf>
    <x:dxf>
      <x:font>
        <x:b/>
        <x:color rgb="FF7C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eeacb355f4735" /><Relationship Type="http://schemas.openxmlformats.org/officeDocument/2006/relationships/theme" Target="/xl/theme/theme1.xml" Id="R7d207b97914b4884" /><Relationship Type="http://schemas.openxmlformats.org/officeDocument/2006/relationships/sharedStrings" Target="/xl/sharedStrings.xml" Id="R75c8846df0514d2a" /><Relationship Type="http://schemas.openxmlformats.org/officeDocument/2006/relationships/worksheet" Target="/xl/worksheets/sheet1.xml" Id="Rc2ea096c81e14d09" /><Relationship Type="http://schemas.openxmlformats.org/officeDocument/2006/relationships/worksheet" Target="/xl/worksheets/sheet2.xml" Id="R69caba39022c40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876e4bf0e443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Recall and Dice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Overall recall</c:v>
          </c:tx>
          <c:cat>
            <c:strRef>
              <c:f>'Results'!$A$60:$A$68</c:f>
              <c:strCache>
                <c:ptCount val="0"/>
              </c:strCache>
            </c:strRef>
          </c:cat>
          <c:val>
            <c:numRef>
              <c:f>'Results'!$B$60:$B$68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Small recall</c:v>
          </c:tx>
          <c:cat>
            <c:strRef>
              <c:f>'Results'!$A$60:$A$68</c:f>
              <c:strCache>
                <c:ptCount val="0"/>
              </c:strCache>
            </c:strRef>
          </c:cat>
          <c:val>
            <c:numRef>
              <c:f>'Results'!$C$60:$C$68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Dice</c:v>
          </c:tx>
          <c:cat>
            <c:strRef>
              <c:f>'Results'!$A$60:$A$68</c:f>
              <c:strCache>
                <c:ptCount val="0"/>
              </c:strCache>
            </c:strRef>
          </c:cat>
          <c:val>
            <c:numRef>
              <c:f>'Results'!$D$60:$D$68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49</xdr:row>
      <xdr:rowOff>0</xdr:rowOff>
    </xdr:from>
    <xdr:to>
      <xdr:col>15</xdr:col>
      <xdr:colOff>0</xdr:colOff>
      <xdr:row>68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76e4bf0e443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548d1fa139481b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2" hidden="0" customWidth="1"/>
    <x:col min="3" max="3" width="8" hidden="0" customWidth="1"/>
    <x:col min="4" max="4" width="9" hidden="0" customWidth="1"/>
    <x:col min="5" max="5" width="11" hidden="0" customWidth="1"/>
    <x:col min="6" max="6" width="10" hidden="0" customWidth="1"/>
    <x:col min="7" max="7" width="12" hidden="0" customWidth="1"/>
    <x:col min="8" max="8" width="13" hidden="0" customWidth="1"/>
    <x:col min="9" max="9" width="12" hidden="0" customWidth="1"/>
    <x:col min="10" max="10" width="17" hidden="0" customWidth="1"/>
    <x:col min="11" max="11" width="12" hidden="0" customWidth="1"/>
    <x:col min="12" max="12" width="9" hidden="0" customWidth="1"/>
    <x:col min="13" max="13" width="9" hidden="0" customWidth="1"/>
    <x:col min="14" max="14" width="18" hidden="0" customWidth="1"/>
    <x:col min="15" max="15" width="52" hidden="0" customWidth="1"/>
  </x:cols>
  <x:sheetData>
    <x:row r="1">
      <x:c r="A1" s="60" t="str">
        <x:v>Segmentation baseline and ANZD novelty results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</x:row>
    <x:row r="2">
      <x:c r="A2" s="61" t="str">
        <x:v>Fixed size-stratified 70/15/15 split | 640 input | seed 42 | higher is better except inference time and FP/image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  <x:c r="M2" s="61"/>
      <x:c r="N2" s="61"/>
      <x:c r="O2" s="61"/>
    </x:row>
    <x:row r="3">
      <x:c r="A3" s="62" t="str">
        <x:v>Segmentation benchmark results</x:v>
      </x:c>
      <x:c r="B3" s="62"/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</x:row>
    <x:row r="4" ht="38" customHeight="1">
      <x:c r="A4" s="9" t="str">
        <x:v>Model</x:v>
      </x:c>
      <x:c r="B4" s="9" t="str">
        <x:v>Group</x:v>
      </x:c>
      <x:c r="C4" s="9" t="str">
        <x:v>Batch</x:v>
      </x:c>
      <x:c r="D4" s="9" t="str">
        <x:v>Epochs</x:v>
      </x:c>
      <x:c r="E4" s="9" t="str">
        <x:v>Precision</x:v>
      </x:c>
      <x:c r="F4" s="9" t="str">
        <x:v>Recall</x:v>
      </x:c>
      <x:c r="G4" s="9" t="str">
        <x:v>Recall small</x:v>
      </x:c>
      <x:c r="H4" s="9" t="str">
        <x:v>Recall medium</x:v>
      </x:c>
      <x:c r="I4" s="9" t="str">
        <x:v>Recall large</x:v>
      </x:c>
      <x:c r="J4" s="9" t="str">
        <x:v>Inference (ms/image)</x:v>
      </x:c>
      <x:c r="K4" s="9" t="str">
        <x:v>FP / image</x:v>
      </x:c>
      <x:c r="L4" s="9" t="str">
        <x:v>Dice</x:v>
      </x:c>
      <x:c r="M4" s="9" t="str">
        <x:v>IoU</x:v>
      </x:c>
      <x:c r="N4" s="9" t="str">
        <x:v>Δ small recall vs PIDNet-S</x:v>
      </x:c>
      <x:c r="O4" s="9" t="str">
        <x:v>Notes</x:v>
      </x:c>
    </x:row>
    <x:row r="5" ht="24" customHeight="1">
      <x:c r="A5" s="24" t="str">
        <x:v>SAM</x:v>
      </x:c>
      <x:c r="B5" s="24" t="str">
        <x:v>Baseline</x:v>
      </x:c>
      <x:c r="C5" s="28" t="n">
        <x:v>16</x:v>
      </x:c>
      <x:c r="D5" s="28" t="n">
        <x:v>45</x:v>
      </x:c>
      <x:c r="E5" s="33" t="n">
        <x:v>0.993</x:v>
      </x:c>
      <x:c r="F5" s="33" t="n">
        <x:v>0.993</x:v>
      </x:c>
      <x:c r="G5" s="33" t="n">
        <x:v>0.963</x:v>
      </x:c>
      <x:c r="H5" s="33" t="n">
        <x:v>0.995</x:v>
      </x:c>
      <x:c r="I5" s="33" t="n">
        <x:v>1</x:v>
      </x:c>
      <x:c r="J5" s="33" t="n">
        <x:v>321.94</x:v>
      </x:c>
      <x:c r="K5" s="38" t="n">
        <x:v>0.015</x:v>
      </x:c>
      <x:c r="L5" s="33"/>
      <x:c r="M5" s="33"/>
      <x:c r="N5" s="33" t="n">
        <x:f>G5-$G$10</x:f>
        <x:v>0.5489999999999999</x:v>
      </x:c>
      <x:c r="O5" s="68" t="str">
        <x:v>Source: baseline PDF</x:v>
      </x:c>
    </x:row>
    <x:row r="6" ht="24" customHeight="1">
      <x:c r="A6" s="25" t="str">
        <x:v>SAM2</x:v>
      </x:c>
      <x:c r="B6" s="25" t="str">
        <x:v>Baseline</x:v>
      </x:c>
      <x:c r="C6" s="29" t="n">
        <x:v>16</x:v>
      </x:c>
      <x:c r="D6" s="29" t="n">
        <x:v>50</x:v>
      </x:c>
      <x:c r="E6" s="34" t="n">
        <x:v>0.979</x:v>
      </x:c>
      <x:c r="F6" s="34" t="n">
        <x:v>0.979</x:v>
      </x:c>
      <x:c r="G6" s="34" t="n">
        <x:v>0.964</x:v>
      </x:c>
      <x:c r="H6" s="34" t="n">
        <x:v>0.988</x:v>
      </x:c>
      <x:c r="I6" s="34" t="n">
        <x:v>1</x:v>
      </x:c>
      <x:c r="J6" s="34" t="n">
        <x:v>109.27</x:v>
      </x:c>
      <x:c r="K6" s="39" t="n">
        <x:v>0.044</x:v>
      </x:c>
      <x:c r="L6" s="34"/>
      <x:c r="M6" s="34"/>
      <x:c r="N6" s="34" t="n">
        <x:f>G6-$G$10</x:f>
        <x:v>0.55</x:v>
      </x:c>
      <x:c r="O6" s="69" t="str">
        <x:v>Source: baseline PDF</x:v>
      </x:c>
    </x:row>
    <x:row r="7" ht="24" customHeight="1">
      <x:c r="A7" s="25" t="str">
        <x:v>SegFormer-B0</x:v>
      </x:c>
      <x:c r="B7" s="25" t="str">
        <x:v>Baseline</x:v>
      </x:c>
      <x:c r="C7" s="29" t="n">
        <x:v>8</x:v>
      </x:c>
      <x:c r="D7" s="29" t="n">
        <x:v>21</x:v>
      </x:c>
      <x:c r="E7" s="34" t="n">
        <x:v>0.786</x:v>
      </x:c>
      <x:c r="F7" s="34" t="n">
        <x:v>0.729</x:v>
      </x:c>
      <x:c r="G7" s="34" t="n">
        <x:v>0.512</x:v>
      </x:c>
      <x:c r="H7" s="34" t="n">
        <x:v>0.673</x:v>
      </x:c>
      <x:c r="I7" s="34" t="n">
        <x:v>0.75</x:v>
      </x:c>
      <x:c r="J7" s="34" t="n">
        <x:v>22.986</x:v>
      </x:c>
      <x:c r="K7" s="39" t="n">
        <x:v>5062.95</x:v>
      </x:c>
      <x:c r="L7" s="34" t="n">
        <x:v>0.757</x:v>
      </x:c>
      <x:c r="M7" s="34" t="n">
        <x:v>0.609</x:v>
      </x:c>
      <x:c r="N7" s="34" t="n">
        <x:f>G7-$G$10</x:f>
        <x:v>0.09800000000000003</x:v>
      </x:c>
      <x:c r="O7" s="69" t="str">
        <x:v>Source: baseline PDF</x:v>
      </x:c>
    </x:row>
    <x:row r="8" ht="24" customHeight="1">
      <x:c r="A8" s="25" t="str">
        <x:v>SegNeXt-T</x:v>
      </x:c>
      <x:c r="B8" s="25" t="str">
        <x:v>Baseline</x:v>
      </x:c>
      <x:c r="C8" s="29" t="n">
        <x:v>8</x:v>
      </x:c>
      <x:c r="D8" s="29" t="n">
        <x:v>41</x:v>
      </x:c>
      <x:c r="E8" s="34" t="n">
        <x:v>0.766</x:v>
      </x:c>
      <x:c r="F8" s="34" t="n">
        <x:v>0.753</x:v>
      </x:c>
      <x:c r="G8" s="34" t="n">
        <x:v>0.565</x:v>
      </x:c>
      <x:c r="H8" s="34" t="n">
        <x:v>0.737</x:v>
      </x:c>
      <x:c r="I8" s="34" t="n">
        <x:v>0.762</x:v>
      </x:c>
      <x:c r="J8" s="34" t="n">
        <x:v>23.49</x:v>
      </x:c>
      <x:c r="K8" s="39" t="n">
        <x:v>5870.7</x:v>
      </x:c>
      <x:c r="L8" s="34" t="n">
        <x:v>0.759</x:v>
      </x:c>
      <x:c r="M8" s="34" t="n">
        <x:v>0.612</x:v>
      </x:c>
      <x:c r="N8" s="34" t="n">
        <x:f>G8-$G$10</x:f>
        <x:v>0.15099999999999997</x:v>
      </x:c>
      <x:c r="O8" s="69" t="str">
        <x:v>Source: baseline PDF</x:v>
      </x:c>
    </x:row>
    <x:row r="9" ht="24" customHeight="1">
      <x:c r="A9" s="25" t="str">
        <x:v>GCNet-S</x:v>
      </x:c>
      <x:c r="B9" s="25" t="str">
        <x:v>Baseline</x:v>
      </x:c>
      <x:c r="C9" s="29" t="n">
        <x:v>8</x:v>
      </x:c>
      <x:c r="D9" s="29" t="n">
        <x:v>29</x:v>
      </x:c>
      <x:c r="E9" s="34" t="n">
        <x:v>0.712</x:v>
      </x:c>
      <x:c r="F9" s="34" t="n">
        <x:v>0.692</x:v>
      </x:c>
      <x:c r="G9" s="34" t="n">
        <x:v>0.488</x:v>
      </x:c>
      <x:c r="H9" s="34" t="n">
        <x:v>0.667</x:v>
      </x:c>
      <x:c r="I9" s="34" t="n">
        <x:v>0.704</x:v>
      </x:c>
      <x:c r="J9" s="34" t="n">
        <x:v>14.522</x:v>
      </x:c>
      <x:c r="K9" s="39" t="n">
        <x:v>7137.88</x:v>
      </x:c>
      <x:c r="L9" s="34" t="n">
        <x:v>0.702</x:v>
      </x:c>
      <x:c r="M9" s="34" t="n">
        <x:v>0.541</x:v>
      </x:c>
      <x:c r="N9" s="34" t="n">
        <x:f>G9-$G$10</x:f>
        <x:v>0.07400000000000001</x:v>
      </x:c>
      <x:c r="O9" s="69" t="str">
        <x:v>Source: baseline PDF</x:v>
      </x:c>
    </x:row>
    <x:row r="10" ht="24" customHeight="1">
      <x:c r="A10" s="25" t="str">
        <x:v>PIDNet-S</x:v>
      </x:c>
      <x:c r="B10" s="25" t="str">
        <x:v>Baseline</x:v>
      </x:c>
      <x:c r="C10" s="29" t="n">
        <x:v>8</x:v>
      </x:c>
      <x:c r="D10" s="29" t="n">
        <x:v>31</x:v>
      </x:c>
      <x:c r="E10" s="34" t="n">
        <x:v>0.739</x:v>
      </x:c>
      <x:c r="F10" s="34" t="n">
        <x:v>0.586</x:v>
      </x:c>
      <x:c r="G10" s="34" t="n">
        <x:v>0.414</x:v>
      </x:c>
      <x:c r="H10" s="34" t="n">
        <x:v>0.607</x:v>
      </x:c>
      <x:c r="I10" s="34" t="n">
        <x:v>0.586</x:v>
      </x:c>
      <x:c r="J10" s="34" t="n">
        <x:v>6.836</x:v>
      </x:c>
      <x:c r="K10" s="39" t="n">
        <x:v>5290.07</x:v>
      </x:c>
      <x:c r="L10" s="34" t="n">
        <x:v>0.654</x:v>
      </x:c>
      <x:c r="M10" s="34" t="n">
        <x:v>0.486</x:v>
      </x:c>
      <x:c r="N10" s="34" t="n">
        <x:f>G10-$G$10</x:f>
        <x:v>0</x:v>
      </x:c>
      <x:c r="O10" s="69" t="str">
        <x:v>Controlled base for ANZD</x:v>
      </x:c>
    </x:row>
    <x:row r="11" ht="24" customHeight="1">
      <x:c r="A11" s="25" t="str">
        <x:v>Mask2Former</x:v>
      </x:c>
      <x:c r="B11" s="25" t="str">
        <x:v>Baseline</x:v>
      </x:c>
      <x:c r="C11" s="29" t="n">
        <x:v>4</x:v>
      </x:c>
      <x:c r="D11" s="29" t="n">
        <x:v>39</x:v>
      </x:c>
      <x:c r="E11" s="34" t="n">
        <x:v>0.779</x:v>
      </x:c>
      <x:c r="F11" s="34" t="n">
        <x:v>0.784</x:v>
      </x:c>
      <x:c r="G11" s="34" t="n">
        <x:v>0.714</x:v>
      </x:c>
      <x:c r="H11" s="34" t="n">
        <x:v>0.77</x:v>
      </x:c>
      <x:c r="I11" s="34" t="n">
        <x:v>0.789</x:v>
      </x:c>
      <x:c r="J11" s="34" t="n">
        <x:v>63.877</x:v>
      </x:c>
      <x:c r="K11" s="39" t="n">
        <x:v>5550.21</x:v>
      </x:c>
      <x:c r="L11" s="34" t="n">
        <x:v>0.781</x:v>
      </x:c>
      <x:c r="M11" s="34" t="n">
        <x:v>0.641</x:v>
      </x:c>
      <x:c r="N11" s="34" t="n">
        <x:f>G11-$G$10</x:f>
        <x:v>0.3</x:v>
      </x:c>
      <x:c r="O11" s="69" t="str">
        <x:v>Source: baseline PDF</x:v>
      </x:c>
    </x:row>
    <x:row r="12" ht="24" customHeight="1">
      <x:c r="A12" s="26"/>
      <x:c r="B12" s="26"/>
      <x:c r="C12" s="30"/>
      <x:c r="D12" s="30"/>
      <x:c r="E12" s="35"/>
      <x:c r="F12" s="35"/>
      <x:c r="G12" s="35"/>
      <x:c r="H12" s="35"/>
      <x:c r="I12" s="35"/>
      <x:c r="J12" s="35"/>
      <x:c r="K12" s="40"/>
      <x:c r="L12" s="35"/>
      <x:c r="M12" s="35"/>
      <x:c r="N12" s="35"/>
      <x:c r="O12" s="70"/>
    </x:row>
    <x:row r="13" ht="24" customHeight="1">
      <x:c r="A13" s="21" t="str">
        <x:v>Novelty</x:v>
      </x:c>
      <x:c r="B13" s="21"/>
      <x:c r="C13" s="31"/>
      <x:c r="D13" s="31"/>
      <x:c r="E13" s="36"/>
      <x:c r="F13" s="36"/>
      <x:c r="G13" s="36"/>
      <x:c r="H13" s="36"/>
      <x:c r="I13" s="36"/>
      <x:c r="J13" s="36"/>
      <x:c r="K13" s="41"/>
      <x:c r="L13" s="36"/>
      <x:c r="M13" s="36"/>
      <x:c r="N13" s="36"/>
      <x:c r="O13" s="71"/>
    </x:row>
    <x:row r="14" ht="32" customHeight="1">
      <x:c r="A14" s="27" t="str">
        <x:v>ANZD-PIDNet v1</x:v>
      </x:c>
      <x:c r="B14" s="27" t="str">
        <x:v>Novelty</x:v>
      </x:c>
      <x:c r="C14" s="32" t="n">
        <x:v>4</x:v>
      </x:c>
      <x:c r="D14" s="32" t="n">
        <x:v>43</x:v>
      </x:c>
      <x:c r="E14" s="37" t="n">
        <x:v>0.6783942292</x:v>
      </x:c>
      <x:c r="F14" s="37" t="n">
        <x:v>0.6314193814</x:v>
      </x:c>
      <x:c r="G14" s="37" t="n">
        <x:v>0.65671267</x:v>
      </x:c>
      <x:c r="H14" s="37" t="n">
        <x:v>0.6637313896</x:v>
      </x:c>
      <x:c r="I14" s="37" t="n">
        <x:v>0.6221573177</x:v>
      </x:c>
      <x:c r="J14" s="37" t="n">
        <x:v>3.7570801738</x:v>
      </x:c>
      <x:c r="K14" s="42" t="n">
        <x:v>7522.6385417</x:v>
      </x:c>
      <x:c r="L14" s="37" t="n">
        <x:v>0.6540644578</x:v>
      </x:c>
      <x:c r="M14" s="37" t="n">
        <x:v>0.4859552611</x:v>
      </x:c>
      <x:c r="N14" s="37" t="n">
        <x:f>G14-$G$10</x:f>
        <x:v>0.24271267000000002</x:v>
      </x:c>
      <x:c r="O14" s="72" t="str">
        <x:v>Zoom + component loss; deployed architecture unchanged</x:v>
      </x:c>
    </x:row>
    <x:row r="15" ht="32" customHeight="1">
      <x:c r="A15" s="27" t="str">
        <x:v>ANZD-PIDNet v2</x:v>
      </x:c>
      <x:c r="B15" s="27" t="str">
        <x:v>Novelty</x:v>
      </x:c>
      <x:c r="C15" s="32" t="n">
        <x:v>4</x:v>
      </x:c>
      <x:c r="D15" s="32" t="n">
        <x:v>27</x:v>
      </x:c>
      <x:c r="E15" s="37" t="n">
        <x:v>0.6592898798</x:v>
      </x:c>
      <x:c r="F15" s="37" t="n">
        <x:v>0.561189935</x:v>
      </x:c>
      <x:c r="G15" s="37" t="n">
        <x:v>0.5843838146</x:v>
      </x:c>
      <x:c r="H15" s="37" t="n">
        <x:v>0.5868028954</x:v>
      </x:c>
      <x:c r="I15" s="37" t="n">
        <x:v>0.5537544864</x:v>
      </x:c>
      <x:c r="J15" s="37" t="n">
        <x:v>2.6114424657</x:v>
      </x:c>
      <x:c r="K15" s="42" t="n">
        <x:v>7288.3479167</x:v>
      </x:c>
      <x:c r="L15" s="37" t="n">
        <x:v>0.6062973599</x:v>
      </x:c>
      <x:c r="M15" s="37" t="n">
        <x:v>0.435026341</x:v>
      </x:c>
      <x:c r="N15" s="37" t="n">
        <x:f>G15-$G$10</x:f>
        <x:v>0.17038381460000002</x:v>
      </x:c>
      <x:c r="O15" s="72" t="str">
        <x:v>Metric-aware losses + refinement head; threshold 0.475</x:v>
      </x:c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</x:row>
    <x:row r="18">
      <x:c r="A18" s="62" t="str">
        <x:v>Where ANZD beats the controlled PIDNet-S base</x:v>
      </x:c>
      <x:c r="B18" s="62"/>
      <x:c r="C18" s="62"/>
      <x:c r="D18" s="62"/>
      <x:c r="E18" s="62"/>
      <x:c r="F18" s="62"/>
      <x:c r="G18" s="62"/>
      <x:c r="H18" s="62"/>
      <x:c r="I18" s="62"/>
      <x:c r="J18" s="62"/>
      <x:c r="K18" s="19"/>
      <x:c r="L18" s="19"/>
      <x:c r="M18" s="19"/>
      <x:c r="N18" s="19"/>
      <x:c r="O18" s="19"/>
    </x:row>
    <x:row r="19">
      <x:c r="A19" s="45" t="str">
        <x:v>Metric</x:v>
      </x:c>
      <x:c r="B19" s="45" t="str">
        <x:v>Direction</x:v>
      </x:c>
      <x:c r="C19" s="45" t="str">
        <x:v>PIDNet-S</x:v>
      </x:c>
      <x:c r="D19" s="45" t="str">
        <x:v>ANZD v1</x:v>
      </x:c>
      <x:c r="E19" s="45" t="str">
        <x:v>Δ v1</x:v>
      </x:c>
      <x:c r="F19" s="45" t="str">
        <x:v>Status v1</x:v>
      </x:c>
      <x:c r="G19" s="45" t="str">
        <x:v>ANZD v2</x:v>
      </x:c>
      <x:c r="H19" s="45" t="str">
        <x:v>Δ v2</x:v>
      </x:c>
      <x:c r="I19" s="45" t="str">
        <x:v>Status v2</x:v>
      </x:c>
      <x:c r="J19" s="45" t="str">
        <x:v>Interpretation</x:v>
      </x:c>
      <x:c r="K19" s="19"/>
      <x:c r="L19" s="19"/>
      <x:c r="M19" s="19"/>
      <x:c r="N19" s="19"/>
      <x:c r="O19" s="19"/>
    </x:row>
    <x:row r="20">
      <x:c r="A20" s="24" t="str">
        <x:v>Overall recall</x:v>
      </x:c>
      <x:c r="B20" s="24" t="str">
        <x:v>Higher</x:v>
      </x:c>
      <x:c r="C20" s="33" t="n">
        <x:f>F10</x:f>
        <x:v>0.586</x:v>
      </x:c>
      <x:c r="D20" s="33" t="n">
        <x:f>F14</x:f>
        <x:v>0.6314193814</x:v>
      </x:c>
      <x:c r="E20" s="33" t="n">
        <x:f>D20-C20</x:f>
        <x:v>0.045419381400000014</x:v>
      </x:c>
      <x:c r="F20" s="33" t="str">
        <x:f>IF(ABS(E20)&lt;0.0005,"Tie",IF(E20&gt;0,"Beats","Below"))</x:f>
        <x:v>Beats</x:v>
      </x:c>
      <x:c r="G20" s="33" t="n">
        <x:f>F15</x:f>
        <x:v>0.561189935</x:v>
      </x:c>
      <x:c r="H20" s="33" t="n">
        <x:f>G20-C20</x:f>
        <x:v>-0.024810064999999937</x:v>
      </x:c>
      <x:c r="I20" s="24" t="str">
        <x:f>IF(ABS(H20)&lt;0.0005,"Tie",IF(H20&gt;0,"Beats","Below"))</x:f>
        <x:v>Below</x:v>
      </x:c>
      <x:c r="J20" s="68" t="str">
        <x:v>Defect pixels captured overall</x:v>
      </x:c>
      <x:c r="K20" s="19"/>
      <x:c r="L20" s="19"/>
      <x:c r="M20" s="19"/>
      <x:c r="N20" s="19"/>
      <x:c r="O20" s="19"/>
    </x:row>
    <x:row r="21">
      <x:c r="A21" s="25" t="str">
        <x:v>Small recall</x:v>
      </x:c>
      <x:c r="B21" s="25" t="str">
        <x:v>Higher</x:v>
      </x:c>
      <x:c r="C21" s="34" t="n">
        <x:f>G10</x:f>
        <x:v>0.414</x:v>
      </x:c>
      <x:c r="D21" s="34" t="n">
        <x:f>G14</x:f>
        <x:v>0.65671267</x:v>
      </x:c>
      <x:c r="E21" s="34" t="n">
        <x:f>D21-C21</x:f>
        <x:v>0.24271267000000002</x:v>
      </x:c>
      <x:c r="F21" s="34" t="str">
        <x:f>IF(ABS(E21)&lt;0.0005,"Tie",IF(E21&gt;0,"Beats","Below"))</x:f>
        <x:v>Beats</x:v>
      </x:c>
      <x:c r="G21" s="34" t="n">
        <x:f>G15</x:f>
        <x:v>0.5843838146</x:v>
      </x:c>
      <x:c r="H21" s="34" t="n">
        <x:f>G21-C21</x:f>
        <x:v>0.17038381460000002</x:v>
      </x:c>
      <x:c r="I21" s="25" t="str">
        <x:f>IF(ABS(H21)&lt;0.0005,"Tie",IF(H21&gt;0,"Beats","Below"))</x:f>
        <x:v>Beats</x:v>
      </x:c>
      <x:c r="J21" s="69" t="str">
        <x:v>Primary ANZD target</x:v>
      </x:c>
      <x:c r="K21" s="19"/>
      <x:c r="L21" s="19"/>
      <x:c r="M21" s="19"/>
      <x:c r="N21" s="19"/>
      <x:c r="O21" s="19"/>
    </x:row>
    <x:row r="22">
      <x:c r="A22" s="25" t="str">
        <x:v>Medium recall</x:v>
      </x:c>
      <x:c r="B22" s="25" t="str">
        <x:v>Higher</x:v>
      </x:c>
      <x:c r="C22" s="34" t="n">
        <x:f>H10</x:f>
        <x:v>0.607</x:v>
      </x:c>
      <x:c r="D22" s="34" t="n">
        <x:f>H14</x:f>
        <x:v>0.6637313896</x:v>
      </x:c>
      <x:c r="E22" s="34" t="n">
        <x:f>D22-C22</x:f>
        <x:v>0.056731389600000015</x:v>
      </x:c>
      <x:c r="F22" s="34" t="str">
        <x:f>IF(ABS(E22)&lt;0.0005,"Tie",IF(E22&gt;0,"Beats","Below"))</x:f>
        <x:v>Beats</x:v>
      </x:c>
      <x:c r="G22" s="34" t="n">
        <x:f>H15</x:f>
        <x:v>0.5868028954</x:v>
      </x:c>
      <x:c r="H22" s="34" t="n">
        <x:f>G22-C22</x:f>
        <x:v>-0.020197104600000015</x:v>
      </x:c>
      <x:c r="I22" s="25" t="str">
        <x:f>IF(ABS(H22)&lt;0.0005,"Tie",IF(H22&gt;0,"Beats","Below"))</x:f>
        <x:v>Below</x:v>
      </x:c>
      <x:c r="J22" s="69" t="str">
        <x:v>Size-bucket recall</x:v>
      </x:c>
      <x:c r="K22" s="19"/>
      <x:c r="L22" s="19"/>
      <x:c r="M22" s="19"/>
      <x:c r="N22" s="19"/>
      <x:c r="O22" s="19"/>
    </x:row>
    <x:row r="23">
      <x:c r="A23" s="25" t="str">
        <x:v>Large recall</x:v>
      </x:c>
      <x:c r="B23" s="25" t="str">
        <x:v>Higher</x:v>
      </x:c>
      <x:c r="C23" s="34" t="n">
        <x:f>I10</x:f>
        <x:v>0.586</x:v>
      </x:c>
      <x:c r="D23" s="34" t="n">
        <x:f>I14</x:f>
        <x:v>0.6221573177</x:v>
      </x:c>
      <x:c r="E23" s="34" t="n">
        <x:f>D23-C23</x:f>
        <x:v>0.03615731770000008</x:v>
      </x:c>
      <x:c r="F23" s="34" t="str">
        <x:f>IF(ABS(E23)&lt;0.0005,"Tie",IF(E23&gt;0,"Beats","Below"))</x:f>
        <x:v>Beats</x:v>
      </x:c>
      <x:c r="G23" s="34" t="n">
        <x:f>I15</x:f>
        <x:v>0.5537544864</x:v>
      </x:c>
      <x:c r="H23" s="34" t="n">
        <x:f>G23-C23</x:f>
        <x:v>-0.03224551359999994</x:v>
      </x:c>
      <x:c r="I23" s="25" t="str">
        <x:f>IF(ABS(H23)&lt;0.0005,"Tie",IF(H23&gt;0,"Beats","Below"))</x:f>
        <x:v>Below</x:v>
      </x:c>
      <x:c r="J23" s="69" t="str">
        <x:v>Size-bucket recall</x:v>
      </x:c>
      <x:c r="K23" s="19"/>
      <x:c r="L23" s="19"/>
      <x:c r="M23" s="19"/>
      <x:c r="N23" s="19"/>
      <x:c r="O23" s="19"/>
    </x:row>
    <x:row r="24">
      <x:c r="A24" s="25" t="str">
        <x:v>Precision</x:v>
      </x:c>
      <x:c r="B24" s="25" t="str">
        <x:v>Higher</x:v>
      </x:c>
      <x:c r="C24" s="34" t="n">
        <x:f>E10</x:f>
        <x:v>0.739</x:v>
      </x:c>
      <x:c r="D24" s="34" t="n">
        <x:f>E14</x:f>
        <x:v>0.6783942292</x:v>
      </x:c>
      <x:c r="E24" s="34" t="n">
        <x:f>D24-C24</x:f>
        <x:v>-0.06060577079999996</x:v>
      </x:c>
      <x:c r="F24" s="34" t="str">
        <x:f>IF(ABS(E24)&lt;0.0005,"Tie",IF(E24&gt;0,"Beats","Below"))</x:f>
        <x:v>Below</x:v>
      </x:c>
      <x:c r="G24" s="34" t="n">
        <x:f>E15</x:f>
        <x:v>0.6592898798</x:v>
      </x:c>
      <x:c r="H24" s="34" t="n">
        <x:f>G24-C24</x:f>
        <x:v>-0.07971012020000001</x:v>
      </x:c>
      <x:c r="I24" s="25" t="str">
        <x:f>IF(ABS(H24)&lt;0.0005,"Tie",IF(H24&gt;0,"Beats","Below"))</x:f>
        <x:v>Below</x:v>
      </x:c>
      <x:c r="J24" s="69" t="str">
        <x:v>False-positive control</x:v>
      </x:c>
      <x:c r="K24" s="19"/>
      <x:c r="L24" s="19"/>
      <x:c r="M24" s="19"/>
      <x:c r="N24" s="19"/>
      <x:c r="O24" s="19"/>
    </x:row>
    <x:row r="25">
      <x:c r="A25" s="25" t="str">
        <x:v>Dice</x:v>
      </x:c>
      <x:c r="B25" s="25" t="str">
        <x:v>Higher</x:v>
      </x:c>
      <x:c r="C25" s="34" t="n">
        <x:f>L10</x:f>
        <x:v>0.654</x:v>
      </x:c>
      <x:c r="D25" s="34" t="n">
        <x:f>L14</x:f>
        <x:v>0.6540644578</x:v>
      </x:c>
      <x:c r="E25" s="34" t="n">
        <x:f>D25-C25</x:f>
        <x:v>0.00006445779999997292</x:v>
      </x:c>
      <x:c r="F25" s="34" t="str">
        <x:f>IF(ABS(E25)&lt;0.0005,"Tie",IF(E25&gt;0,"Beats","Below"))</x:f>
        <x:v>Tie</x:v>
      </x:c>
      <x:c r="G25" s="34" t="n">
        <x:f>L15</x:f>
        <x:v>0.6062973599</x:v>
      </x:c>
      <x:c r="H25" s="34" t="n">
        <x:f>G25-C25</x:f>
        <x:v>-0.04770264010000003</x:v>
      </x:c>
      <x:c r="I25" s="25" t="str">
        <x:f>IF(ABS(H25)&lt;0.0005,"Tie",IF(H25&gt;0,"Beats","Below"))</x:f>
        <x:v>Below</x:v>
      </x:c>
      <x:c r="J25" s="69" t="str">
        <x:v>Mask overlap</x:v>
      </x:c>
      <x:c r="K25" s="19"/>
      <x:c r="L25" s="19"/>
      <x:c r="M25" s="19"/>
      <x:c r="N25" s="19"/>
      <x:c r="O25" s="19"/>
    </x:row>
    <x:row r="26">
      <x:c r="A26" s="25" t="str">
        <x:v>IoU</x:v>
      </x:c>
      <x:c r="B26" s="25" t="str">
        <x:v>Higher</x:v>
      </x:c>
      <x:c r="C26" s="34" t="n">
        <x:f>M10</x:f>
        <x:v>0.486</x:v>
      </x:c>
      <x:c r="D26" s="34" t="n">
        <x:f>M14</x:f>
        <x:v>0.4859552611</x:v>
      </x:c>
      <x:c r="E26" s="34" t="n">
        <x:f>D26-C26</x:f>
        <x:v>-0.000044738900000007575</x:v>
      </x:c>
      <x:c r="F26" s="34" t="str">
        <x:f>IF(ABS(E26)&lt;0.0005,"Tie",IF(E26&gt;0,"Beats","Below"))</x:f>
        <x:v>Tie</x:v>
      </x:c>
      <x:c r="G26" s="34" t="n">
        <x:f>M15</x:f>
        <x:v>0.435026341</x:v>
      </x:c>
      <x:c r="H26" s="34" t="n">
        <x:f>G26-C26</x:f>
        <x:v>-0.050973659000000004</x:v>
      </x:c>
      <x:c r="I26" s="25" t="str">
        <x:f>IF(ABS(H26)&lt;0.0005,"Tie",IF(H26&gt;0,"Beats","Below"))</x:f>
        <x:v>Below</x:v>
      </x:c>
      <x:c r="J26" s="69" t="str">
        <x:v>Mask overlap</x:v>
      </x:c>
      <x:c r="K26" s="19"/>
      <x:c r="L26" s="19"/>
      <x:c r="M26" s="19"/>
      <x:c r="N26" s="19"/>
      <x:c r="O26" s="19"/>
    </x:row>
    <x:row r="27">
      <x:c r="A27" s="25" t="str">
        <x:v>Inference time (ms/image)</x:v>
      </x:c>
      <x:c r="B27" s="25" t="str">
        <x:v>Lower</x:v>
      </x:c>
      <x:c r="C27" s="34" t="n">
        <x:f>J10</x:f>
        <x:v>6.836</x:v>
      </x:c>
      <x:c r="D27" s="34" t="n">
        <x:f>J14</x:f>
        <x:v>3.7570801738</x:v>
      </x:c>
      <x:c r="E27" s="34" t="n">
        <x:f>D27-C27</x:f>
        <x:v>-3.0789198262000004</x:v>
      </x:c>
      <x:c r="F27" s="34" t="str">
        <x:f>IF(E27&lt;0,"Beats","Below")</x:f>
        <x:v>Beats</x:v>
      </x:c>
      <x:c r="G27" s="34" t="n">
        <x:f>J15</x:f>
        <x:v>2.6114424657</x:v>
      </x:c>
      <x:c r="H27" s="34" t="n">
        <x:f>G27-C27</x:f>
        <x:v>-4.224557534300001</x:v>
      </x:c>
      <x:c r="I27" s="25" t="str">
        <x:f>IF(H27&lt;0,"Beats","Below")</x:f>
        <x:v>Beats</x:v>
      </x:c>
      <x:c r="J27" s="69" t="str">
        <x:v>Lower is faster</x:v>
      </x:c>
      <x:c r="K27" s="19"/>
      <x:c r="L27" s="19"/>
      <x:c r="M27" s="19"/>
      <x:c r="N27" s="19"/>
      <x:c r="O27" s="19"/>
    </x:row>
    <x:row r="28">
      <x:c r="A28" s="25" t="str">
        <x:v>FP pixels/image</x:v>
      </x:c>
      <x:c r="B28" s="25" t="str">
        <x:v>Lower</x:v>
      </x:c>
      <x:c r="C28" s="34" t="n">
        <x:f>K10</x:f>
        <x:v>5290.07</x:v>
      </x:c>
      <x:c r="D28" s="34" t="n">
        <x:f>K14</x:f>
        <x:v>7522.6385417</x:v>
      </x:c>
      <x:c r="E28" s="34" t="n">
        <x:f>D28-C28</x:f>
        <x:v>2232.5685417000004</x:v>
      </x:c>
      <x:c r="F28" s="34" t="str">
        <x:f>IF(E28&lt;0,"Beats","Below")</x:f>
        <x:v>Below</x:v>
      </x:c>
      <x:c r="G28" s="34" t="n">
        <x:f>K15</x:f>
        <x:v>7288.3479167</x:v>
      </x:c>
      <x:c r="H28" s="34" t="n">
        <x:f>G28-C28</x:f>
        <x:v>1998.2779166999999</x:v>
      </x:c>
      <x:c r="I28" s="25" t="str">
        <x:f>IF(H28&lt;0,"Beats","Below")</x:f>
        <x:v>Below</x:v>
      </x:c>
      <x:c r="J28" s="69" t="str">
        <x:v>Lower is cleaner</x:v>
      </x:c>
      <x:c r="K28" s="19"/>
      <x:c r="L28" s="19"/>
      <x:c r="M28" s="19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</x:row>
    <x:row r="31">
      <x:c r="A31" s="62" t="str">
        <x:v>Context against the strongest listed segmentation baseline</x:v>
      </x:c>
      <x:c r="B31" s="62"/>
      <x:c r="C31" s="62"/>
      <x:c r="D31" s="62"/>
      <x:c r="E31" s="62"/>
      <x:c r="F31" s="62"/>
      <x:c r="G31" s="62"/>
      <x:c r="H31" s="62"/>
      <x:c r="I31" s="19"/>
      <x:c r="J31" s="19"/>
      <x:c r="K31" s="19"/>
      <x:c r="L31" s="19"/>
      <x:c r="M31" s="19"/>
      <x:c r="N31" s="19"/>
      <x:c r="O31" s="19"/>
    </x:row>
    <x:row r="32">
      <x:c r="A32" s="45" t="str">
        <x:v>Metric</x:v>
      </x:c>
      <x:c r="B32" s="45" t="str">
        <x:v>Best listed baseline</x:v>
      </x:c>
      <x:c r="C32" s="45" t="str">
        <x:v>Baseline value</x:v>
      </x:c>
      <x:c r="D32" s="45" t="str">
        <x:v>ANZD v1</x:v>
      </x:c>
      <x:c r="E32" s="45" t="str">
        <x:v>Δ v1</x:v>
      </x:c>
      <x:c r="F32" s="45" t="str">
        <x:v>ANZD v2</x:v>
      </x:c>
      <x:c r="G32" s="45" t="str">
        <x:v>Δ v2</x:v>
      </x:c>
      <x:c r="H32" s="45" t="str">
        <x:v>Readout</x:v>
      </x:c>
      <x:c r="I32" s="19"/>
      <x:c r="J32" s="19"/>
      <x:c r="K32" s="19"/>
      <x:c r="L32" s="19"/>
      <x:c r="M32" s="19"/>
      <x:c r="N32" s="19"/>
      <x:c r="O32" s="19"/>
    </x:row>
    <x:row r="33">
      <x:c r="A33" s="24" t="str">
        <x:v>Overall recall</x:v>
      </x:c>
      <x:c r="B33" s="24" t="str">
        <x:v>SAM</x:v>
      </x:c>
      <x:c r="C33" s="33" t="n">
        <x:f>F5</x:f>
        <x:v>0.993</x:v>
      </x:c>
      <x:c r="D33" s="33" t="n">
        <x:f>F14</x:f>
        <x:v>0.6314193814</x:v>
      </x:c>
      <x:c r="E33" s="33" t="n">
        <x:f>D33-C33</x:f>
        <x:v>-0.3615806186</x:v>
      </x:c>
      <x:c r="F33" s="33" t="n">
        <x:f>F15</x:f>
        <x:v>0.561189935</x:v>
      </x:c>
      <x:c r="G33" s="33" t="n">
        <x:f>F33-C33</x:f>
        <x:v>-0.43181006499999997</x:v>
      </x:c>
      <x:c r="H33" s="68" t="str">
        <x:v>Promptable SAM is the quality ceiling</x:v>
      </x:c>
      <x:c r="I33" s="19"/>
      <x:c r="J33" s="19"/>
      <x:c r="K33" s="63"/>
      <x:c r="L33" s="19"/>
      <x:c r="M33" s="19"/>
      <x:c r="N33" s="19"/>
      <x:c r="O33" s="19"/>
    </x:row>
    <x:row r="34">
      <x:c r="A34" s="25" t="str">
        <x:v>Small recall</x:v>
      </x:c>
      <x:c r="B34" s="25" t="str">
        <x:v>SAM2</x:v>
      </x:c>
      <x:c r="C34" s="34" t="n">
        <x:f>G6</x:f>
        <x:v>0.964</x:v>
      </x:c>
      <x:c r="D34" s="34" t="n">
        <x:f>G14</x:f>
        <x:v>0.65671267</x:v>
      </x:c>
      <x:c r="E34" s="34" t="n">
        <x:f>D34-C34</x:f>
        <x:v>-0.30728732999999997</x:v>
      </x:c>
      <x:c r="F34" s="34" t="n">
        <x:f>G15</x:f>
        <x:v>0.5843838146</x:v>
      </x:c>
      <x:c r="G34" s="34" t="n">
        <x:f>F34-C34</x:f>
        <x:v>-0.3796161854</x:v>
      </x:c>
      <x:c r="H34" s="69" t="str">
        <x:v>ANZD v1 is below SAM2 but above PIDNet-S</x:v>
      </x:c>
      <x:c r="I34" s="19"/>
      <x:c r="J34" s="19"/>
      <x:c r="K34" s="63"/>
      <x:c r="L34" s="19"/>
      <x:c r="M34" s="19"/>
      <x:c r="N34" s="19"/>
      <x:c r="O34" s="19"/>
    </x:row>
    <x:row r="35">
      <x:c r="A35" s="25" t="str">
        <x:v>Medium recall</x:v>
      </x:c>
      <x:c r="B35" s="25" t="str">
        <x:v>SAM</x:v>
      </x:c>
      <x:c r="C35" s="34" t="n">
        <x:f>H5</x:f>
        <x:v>0.995</x:v>
      </x:c>
      <x:c r="D35" s="34" t="n">
        <x:f>H14</x:f>
        <x:v>0.6637313896</x:v>
      </x:c>
      <x:c r="E35" s="34" t="n">
        <x:f>D35-C35</x:f>
        <x:v>-0.3312686104</x:v>
      </x:c>
      <x:c r="F35" s="34" t="n">
        <x:f>H15</x:f>
        <x:v>0.5868028954</x:v>
      </x:c>
      <x:c r="G35" s="34" t="n">
        <x:f>F35-C35</x:f>
        <x:v>-0.4081971046</x:v>
      </x:c>
      <x:c r="H35" s="69" t="str">
        <x:v>No novelty win versus the listed ceiling</x:v>
      </x:c>
      <x:c r="I35" s="19"/>
      <x:c r="J35" s="19"/>
      <x:c r="K35" s="63"/>
      <x:c r="L35" s="19"/>
      <x:c r="M35" s="19"/>
      <x:c r="N35" s="19"/>
      <x:c r="O35" s="19"/>
    </x:row>
    <x:row r="36">
      <x:c r="A36" s="25" t="str">
        <x:v>Large recall</x:v>
      </x:c>
      <x:c r="B36" s="25" t="str">
        <x:v>SAM</x:v>
      </x:c>
      <x:c r="C36" s="34" t="n">
        <x:f>I5</x:f>
        <x:v>1</x:v>
      </x:c>
      <x:c r="D36" s="34" t="n">
        <x:f>I14</x:f>
        <x:v>0.6221573177</x:v>
      </x:c>
      <x:c r="E36" s="34" t="n">
        <x:f>D36-C36</x:f>
        <x:v>-0.37784268229999995</x:v>
      </x:c>
      <x:c r="F36" s="34" t="n">
        <x:f>I15</x:f>
        <x:v>0.5537544864</x:v>
      </x:c>
      <x:c r="G36" s="34" t="n">
        <x:f>F36-C36</x:f>
        <x:v>-0.4462455136</x:v>
      </x:c>
      <x:c r="H36" s="69" t="str">
        <x:v>No novelty win versus the listed ceiling</x:v>
      </x:c>
      <x:c r="I36" s="19"/>
      <x:c r="J36" s="19"/>
      <x:c r="K36" s="63"/>
      <x:c r="L36" s="19"/>
      <x:c r="M36" s="19"/>
      <x:c r="N36" s="19"/>
      <x:c r="O36" s="19"/>
    </x:row>
    <x:row r="37">
      <x:c r="A37" s="25" t="str">
        <x:v>Precision</x:v>
      </x:c>
      <x:c r="B37" s="25" t="str">
        <x:v>SAM</x:v>
      </x:c>
      <x:c r="C37" s="34" t="n">
        <x:f>E5</x:f>
        <x:v>0.993</x:v>
      </x:c>
      <x:c r="D37" s="34" t="n">
        <x:f>E14</x:f>
        <x:v>0.6783942292</x:v>
      </x:c>
      <x:c r="E37" s="34" t="n">
        <x:f>D37-C37</x:f>
        <x:v>-0.31460577079999996</x:v>
      </x:c>
      <x:c r="F37" s="34" t="n">
        <x:f>E15</x:f>
        <x:v>0.6592898798</x:v>
      </x:c>
      <x:c r="G37" s="34" t="n">
        <x:f>F37-C37</x:f>
        <x:v>-0.3337101202</x:v>
      </x:c>
      <x:c r="H37" s="69" t="str">
        <x:v>Precision remains a weakness for ANZD</x:v>
      </x:c>
      <x:c r="I37" s="19"/>
      <x:c r="J37" s="19"/>
      <x:c r="K37" s="63"/>
      <x:c r="L37" s="19"/>
      <x:c r="M37" s="19"/>
      <x:c r="N37" s="19"/>
      <x:c r="O37" s="19"/>
    </x:row>
    <x:row r="38">
      <x:c r="A38" s="25" t="str">
        <x:v>Dice</x:v>
      </x:c>
      <x:c r="B38" s="25" t="str">
        <x:v>Mask2Former</x:v>
      </x:c>
      <x:c r="C38" s="34" t="n">
        <x:f>L11</x:f>
        <x:v>0.781</x:v>
      </x:c>
      <x:c r="D38" s="34" t="n">
        <x:f>L14</x:f>
        <x:v>0.6540644578</x:v>
      </x:c>
      <x:c r="E38" s="34" t="n">
        <x:f>D38-C38</x:f>
        <x:v>-0.12693554220000003</x:v>
      </x:c>
      <x:c r="F38" s="34" t="n">
        <x:f>L15</x:f>
        <x:v>0.6062973599</x:v>
      </x:c>
      <x:c r="G38" s="34" t="n">
        <x:f>F38-C38</x:f>
        <x:v>-0.17470264010000003</x:v>
      </x:c>
      <x:c r="H38" s="69" t="str">
        <x:v>ANZD v1 is close to PIDNet-S, below Mask2Former</x:v>
      </x:c>
      <x:c r="I38" s="19"/>
      <x:c r="J38" s="19"/>
      <x:c r="K38" s="63"/>
      <x:c r="L38" s="19"/>
      <x:c r="M38" s="19"/>
      <x:c r="N38" s="19"/>
      <x:c r="O38" s="19"/>
    </x:row>
    <x:row r="39">
      <x:c r="A39" s="25" t="str">
        <x:v>IoU</x:v>
      </x:c>
      <x:c r="B39" s="25" t="str">
        <x:v>Mask2Former</x:v>
      </x:c>
      <x:c r="C39" s="34" t="n">
        <x:f>M11</x:f>
        <x:v>0.641</x:v>
      </x:c>
      <x:c r="D39" s="34" t="n">
        <x:f>M14</x:f>
        <x:v>0.4859552611</x:v>
      </x:c>
      <x:c r="E39" s="34" t="n">
        <x:f>D39-C39</x:f>
        <x:v>-0.15504473890000003</x:v>
      </x:c>
      <x:c r="F39" s="34" t="n">
        <x:f>M15</x:f>
        <x:v>0.435026341</x:v>
      </x:c>
      <x:c r="G39" s="34" t="n">
        <x:f>F39-C39</x:f>
        <x:v>-0.20597365900000003</x:v>
      </x:c>
      <x:c r="H39" s="69" t="str">
        <x:v>ANZD v1 is close to PIDNet-S, below Mask2Former</x:v>
      </x:c>
      <x:c r="I39" s="19"/>
      <x:c r="J39" s="19"/>
      <x:c r="K39" s="63"/>
      <x:c r="L39" s="19"/>
      <x:c r="M39" s="19"/>
      <x:c r="N39" s="19"/>
      <x:c r="O39" s="19"/>
    </x:row>
    <x:row r="40">
      <x:c r="A40" s="25" t="str">
        <x:v>Inference time (ms/image)</x:v>
      </x:c>
      <x:c r="B40" s="25" t="str">
        <x:v>PIDNet-S</x:v>
      </x:c>
      <x:c r="C40" s="34" t="n">
        <x:f>J10</x:f>
        <x:v>6.836</x:v>
      </x:c>
      <x:c r="D40" s="34" t="n">
        <x:f>J14</x:f>
        <x:v>3.7570801738</x:v>
      </x:c>
      <x:c r="E40" s="34" t="n">
        <x:f>D40-C40</x:f>
        <x:v>-3.0789198262000004</x:v>
      </x:c>
      <x:c r="F40" s="34" t="n">
        <x:f>J15</x:f>
        <x:v>2.6114424657</x:v>
      </x:c>
      <x:c r="G40" s="34" t="n">
        <x:f>F40-C40</x:f>
        <x:v>-4.224557534300001</x:v>
      </x:c>
      <x:c r="H40" s="69" t="str">
        <x:v>Both novelty runs are faster than every listed baseline</x:v>
      </x:c>
      <x:c r="I40" s="19"/>
      <x:c r="J40" s="19"/>
      <x:c r="K40" s="63"/>
      <x:c r="L40" s="19"/>
      <x:c r="M40" s="19"/>
      <x:c r="N40" s="19"/>
      <x:c r="O40" s="19"/>
    </x:row>
    <x:row r="41">
      <x:c r="A41" s="25" t="str">
        <x:v>FP pixels/image</x:v>
      </x:c>
      <x:c r="B41" s="25" t="str">
        <x:v>SAM</x:v>
      </x:c>
      <x:c r="C41" s="34" t="n">
        <x:f>K5</x:f>
        <x:v>0.015</x:v>
      </x:c>
      <x:c r="D41" s="34" t="n">
        <x:f>K14</x:f>
        <x:v>7522.6385417</x:v>
      </x:c>
      <x:c r="E41" s="34" t="n">
        <x:f>D41-C41</x:f>
        <x:v>7522.6235417</x:v>
      </x:c>
      <x:c r="F41" s="34" t="n">
        <x:f>K15</x:f>
        <x:v>7288.3479167</x:v>
      </x:c>
      <x:c r="G41" s="34" t="n">
        <x:f>F41-C41</x:f>
        <x:v>7288.332916699999</x:v>
      </x:c>
      <x:c r="H41" s="69" t="str">
        <x:v>False-positive pixels remain high</x:v>
      </x:c>
      <x:c r="I41" s="19"/>
      <x:c r="J41" s="19"/>
      <x:c r="K41" s="63"/>
      <x:c r="L41" s="19"/>
      <x:c r="M41" s="19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</x:row>
    <x:row r="44">
      <x:c r="A44" s="62" t="str">
        <x:v>Headline takeaways</x:v>
      </x:c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</x:row>
    <x:row r="45" ht="28" customHeight="1">
      <x:c r="A45" s="54" t="str">
        <x:v>ANZD v1 is the strongest novelty quality run: +0.243 small recall and +0.045 overall recall versus PIDNet-S, while Dice and IoU are effectively tied.</x:v>
      </x:c>
      <x:c r="B45" s="54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4"/>
      <x:c r="N45" s="54"/>
      <x:c r="O45" s="54"/>
    </x:row>
    <x:row r="46" ht="28" customHeight="1">
      <x:c r="A46" s="54" t="str">
        <x:v>ANZD v2 is the fastest run at 2.611 ms/image and reduces FP pixels/image versus v1, but it trails v1 on precision, recall, Dice, and IoU.</x:v>
      </x:c>
      <x:c r="B46" s="54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4"/>
      <x:c r="N46" s="54"/>
      <x:c r="O46" s="54"/>
    </x:row>
    <x:row r="47" ht="28" customHeight="1">
      <x:c r="A47" s="54" t="str">
        <x:v>Against the full listed segmentation set, both novelty runs win on inference speed. They do not beat SAM/SAM2 on quality; the clearest controlled win is small-defect recall versus PIDNet-S.</x:v>
      </x:c>
      <x:c r="B47" s="54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4"/>
      <x:c r="N47" s="54"/>
      <x:c r="O47" s="54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</x:row>
    <x:row r="50">
      <x:c r="A50" s="62" t="str">
        <x:v>ANZD-specific diagnostics</x:v>
      </x:c>
      <x:c r="B50" s="62"/>
      <x:c r="C50" s="62"/>
      <x:c r="D50" s="62"/>
      <x:c r="E50" s="62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</x:row>
    <x:row r="51">
      <x:c r="A51" s="45" t="str">
        <x:v>Metric</x:v>
      </x:c>
      <x:c r="B51" s="45" t="str">
        <x:v>ANZD v1</x:v>
      </x:c>
      <x:c r="C51" s="45" t="str">
        <x:v>ANZD v2</x:v>
      </x:c>
      <x:c r="D51" s="45" t="str">
        <x:v>Δ v2 - v1</x:v>
      </x:c>
      <x:c r="E51" s="45" t="str">
        <x:v>Definition</x:v>
      </x:c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</x:row>
    <x:row r="52">
      <x:c r="A52" s="24" t="str">
        <x:v>Component recall @ IoU 0.10</x:v>
      </x:c>
      <x:c r="B52" s="33" t="n">
        <x:v>0.7115069135</x:v>
      </x:c>
      <x:c r="C52" s="33" t="n">
        <x:v>0.5994844153</x:v>
      </x:c>
      <x:c r="D52" s="33" t="n">
        <x:f>C52-B52</x:f>
        <x:v>-0.11202249819999999</x:v>
      </x:c>
      <x:c r="E52" s="68" t="str">
        <x:v>Matched predicted components / ground-truth components</x:v>
      </x:c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</x:row>
    <x:row r="53">
      <x:c r="A53" s="25" t="str">
        <x:v>Component precision @ IoU 0.10</x:v>
      </x:c>
      <x:c r="B53" s="34" t="n">
        <x:v>0.3671988389</x:v>
      </x:c>
      <x:c r="C53" s="34" t="n">
        <x:v>0.3207523511</x:v>
      </x:c>
      <x:c r="D53" s="34" t="n">
        <x:f>C53-B53</x:f>
        <x:v>-0.04644648779999999</x:v>
      </x:c>
      <x:c r="E53" s="69" t="str">
        <x:v>Matched predicted components / predicted components</x:v>
      </x:c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</x:row>
    <x:row r="54">
      <x:c r="A54" s="25" t="str">
        <x:v>Component F1 @ IoU 0.10</x:v>
      </x:c>
      <x:c r="B54" s="34" t="n">
        <x:v>0.4844036697</x:v>
      </x:c>
      <x:c r="C54" s="34" t="n">
        <x:v>0.417905571</x:v>
      </x:c>
      <x:c r="D54" s="34" t="n">
        <x:f>C54-B54</x:f>
        <x:v>-0.06649809870000001</x:v>
      </x:c>
      <x:c r="E54" s="69" t="str">
        <x:v>Harmonic mean of component precision and recall</x:v>
      </x:c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</x:row>
    <x:row r="55">
      <x:c r="A55" s="25" t="str">
        <x:v>Mean best component IoU</x:v>
      </x:c>
      <x:c r="B55" s="34" t="n">
        <x:v>0.4145832257</x:v>
      </x:c>
      <x:c r="C55" s="34" t="n">
        <x:v>0.3346530814</x:v>
      </x:c>
      <x:c r="D55" s="34" t="n">
        <x:f>C55-B55</x:f>
        <x:v>-0.0799301443</x:v>
      </x:c>
      <x:c r="E55" s="69" t="str">
        <x:v>Mean best overlap for each ground-truth component</x:v>
      </x:c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</x:row>
    <x:row r="56">
      <x:c r="A56" s="25" t="str">
        <x:v>Parameters</x:v>
      </x:c>
      <x:c r="B56" s="64" t="n">
        <x:v>7716549</x:v>
      </x:c>
      <x:c r="C56" s="64" t="n">
        <x:v>7720103</x:v>
      </x:c>
      <x:c r="D56" s="64" t="n">
        <x:f>C56-B56</x:f>
        <x:v>3554</x:v>
      </x:c>
      <x:c r="E56" s="69" t="str">
        <x:v>Trainable parameters; v2 adds a small refinement head</x:v>
      </x:c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</x:row>
    <x:row r="59">
      <x:c r="A59" s="65" t="str">
        <x:v>Model</x:v>
      </x:c>
      <x:c r="B59" s="65" t="str">
        <x:v>Overall recall</x:v>
      </x:c>
      <x:c r="C59" s="65" t="str">
        <x:v>Small recall</x:v>
      </x:c>
      <x:c r="D59" s="65" t="str">
        <x:v>Dice</x:v>
      </x:c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</x:row>
    <x:row r="60">
      <x:c r="A60" s="66" t="str">
        <x:v>SAM</x:v>
      </x:c>
      <x:c r="B60" s="67" t="n">
        <x:v>0.993</x:v>
      </x:c>
      <x:c r="C60" s="67" t="n">
        <x:v>0.963</x:v>
      </x:c>
      <x:c r="D60" s="67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</x:row>
    <x:row r="61">
      <x:c r="A61" s="66" t="str">
        <x:v>SAM2</x:v>
      </x:c>
      <x:c r="B61" s="67" t="n">
        <x:v>0.979</x:v>
      </x:c>
      <x:c r="C61" s="67" t="n">
        <x:v>0.964</x:v>
      </x:c>
      <x:c r="D61" s="67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</x:row>
    <x:row r="62">
      <x:c r="A62" s="66" t="str">
        <x:v>SegFormer-B0</x:v>
      </x:c>
      <x:c r="B62" s="67" t="n">
        <x:v>0.729</x:v>
      </x:c>
      <x:c r="C62" s="67" t="n">
        <x:v>0.512</x:v>
      </x:c>
      <x:c r="D62" s="67" t="n">
        <x:v>0.757</x:v>
      </x:c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</x:row>
    <x:row r="63">
      <x:c r="A63" s="66" t="str">
        <x:v>SegNeXt-T</x:v>
      </x:c>
      <x:c r="B63" s="67" t="n">
        <x:v>0.753</x:v>
      </x:c>
      <x:c r="C63" s="67" t="n">
        <x:v>0.565</x:v>
      </x:c>
      <x:c r="D63" s="67" t="n">
        <x:v>0.759</x:v>
      </x:c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</x:row>
    <x:row r="64">
      <x:c r="A64" s="66" t="str">
        <x:v>GCNet-S</x:v>
      </x:c>
      <x:c r="B64" s="67" t="n">
        <x:v>0.692</x:v>
      </x:c>
      <x:c r="C64" s="67" t="n">
        <x:v>0.488</x:v>
      </x:c>
      <x:c r="D64" s="67" t="n">
        <x:v>0.702</x:v>
      </x:c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</x:row>
    <x:row r="65">
      <x:c r="A65" s="66" t="str">
        <x:v>PIDNet-S</x:v>
      </x:c>
      <x:c r="B65" s="67" t="n">
        <x:v>0.586</x:v>
      </x:c>
      <x:c r="C65" s="67" t="n">
        <x:v>0.414</x:v>
      </x:c>
      <x:c r="D65" s="67" t="n">
        <x:v>0.654</x:v>
      </x:c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</x:row>
    <x:row r="66">
      <x:c r="A66" s="66" t="str">
        <x:v>Mask2Former</x:v>
      </x:c>
      <x:c r="B66" s="67" t="n">
        <x:v>0.784</x:v>
      </x:c>
      <x:c r="C66" s="67" t="n">
        <x:v>0.714</x:v>
      </x:c>
      <x:c r="D66" s="67" t="n">
        <x:v>0.781</x:v>
      </x:c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</x:row>
    <x:row r="67">
      <x:c r="A67" s="66" t="str">
        <x:v>ANZD v1</x:v>
      </x:c>
      <x:c r="B67" s="67" t="n">
        <x:v>0.6314193814</x:v>
      </x:c>
      <x:c r="C67" s="67" t="n">
        <x:v>0.65671267</x:v>
      </x:c>
      <x:c r="D67" s="67" t="n">
        <x:v>0.6540644578</x:v>
      </x:c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</x:row>
    <x:row r="68">
      <x:c r="A68" s="66" t="str">
        <x:v>ANZD v2</x:v>
      </x:c>
      <x:c r="B68" s="67" t="n">
        <x:v>0.561189935</x:v>
      </x:c>
      <x:c r="C68" s="67" t="n">
        <x:v>0.5843838146</x:v>
      </x:c>
      <x:c r="D68" s="67" t="n">
        <x:v>0.6062973599</x:v>
      </x:c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</x:row>
  </x:sheetData>
  <x:mergeCells>
    <x:mergeCell ref="A1:O1"/>
    <x:mergeCell ref="A2:O2"/>
    <x:mergeCell ref="A3:O3"/>
    <x:mergeCell ref="A13:O13"/>
    <x:mergeCell ref="A18:J18"/>
    <x:mergeCell ref="A31:H31"/>
    <x:mergeCell ref="A44:O44"/>
    <x:mergeCell ref="A45:O45"/>
    <x:mergeCell ref="A46:O46"/>
    <x:mergeCell ref="A47:O47"/>
    <x:mergeCell ref="A50:E50"/>
  </x:mergeCells>
  <x:conditionalFormatting sqref="F20:F28">
    <x:cfRule type="containsText" dxfId="0" priority="1" operator="containsText" text="Beats"/>
    <x:cfRule type="containsText" dxfId="2" priority="3" operator="containsText" text="Below"/>
    <x:cfRule type="containsText" dxfId="4" priority="5" operator="containsText" text="Tie"/>
  </x:conditionalFormatting>
  <x:conditionalFormatting sqref="I20:I28">
    <x:cfRule type="containsText" dxfId="1" priority="2" operator="containsText" text="Beats"/>
    <x:cfRule type="containsText" dxfId="3" priority="4" operator="containsText" text="Below"/>
    <x:cfRule type="containsText" dxfId="5" priority="6" operator="containsText" text="Tie"/>
  </x:conditionalFormatting>
  <x:pageMargins left="0.7" right="0.7" top="0.75" bottom="0.75" header="0.3" footer="0.3"/>
  <x:drawing xmlns:r="http://schemas.openxmlformats.org/officeDocument/2006/relationships" r:id="Rf1548d1fa139481b"/>
</x:worksheet>
</file>

<file path=xl/worksheets/sheet2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68" hidden="0" customWidth="1"/>
    <x:col min="3" max="3" width="48" hidden="0" customWidth="1"/>
  </x:cols>
  <x:sheetData>
    <x:row r="1">
      <x:c r="A1" s="60" t="str">
        <x:v>Sources and metric definitions</x:v>
      </x:c>
      <x:c r="B1" s="60"/>
      <x:c r="C1" s="60"/>
    </x:row>
    <x:row r="2">
      <x:c r="A2" s="19"/>
      <x:c r="B2" s="19"/>
      <x:c r="C2" s="19"/>
    </x:row>
    <x:row r="3">
      <x:c r="A3" s="76" t="str">
        <x:v>Source</x:v>
      </x:c>
      <x:c r="B3" s="76" t="str">
        <x:v>Used for</x:v>
      </x:c>
      <x:c r="C3" s="76" t="str">
        <x:v>Reference</x:v>
      </x:c>
    </x:row>
    <x:row r="4">
      <x:c r="A4" s="68" t="str">
        <x:v>Baseline PDF</x:v>
      </x:c>
      <x:c r="B4" s="68" t="str">
        <x:v>Segmentation baseline rows, dataset overview, split counts, and shared evaluation protocol</x:v>
      </x:c>
      <x:c r="C4" s="68" t="str">
        <x:v>baselines_small_defect_detection.pdf</x:v>
      </x:c>
    </x:row>
    <x:row r="5">
      <x:c r="A5" s="69" t="str">
        <x:v>ANZD-PIDNet v1 summary</x:v>
      </x:c>
      <x:c r="B5" s="69" t="str">
        <x:v>Overall v1 metrics and model/runtime metadata</x:v>
      </x:c>
      <x:c r="C5" s="69" t="str">
        <x:v>ANZD v1 final_outputs/summary.csv</x:v>
      </x:c>
    </x:row>
    <x:row r="6">
      <x:c r="A6" s="69" t="str">
        <x:v>ANZD-PIDNet v1 evaluation</x:v>
      </x:c>
      <x:c r="B6" s="69" t="str">
        <x:v>Overall, size-bucket, dataset, and component diagnostics</x:v>
      </x:c>
      <x:c r="C6" s="69" t="str">
        <x:v>ANZD v1 final_outputs/evaluation_metrics.csv</x:v>
      </x:c>
    </x:row>
    <x:row r="7">
      <x:c r="A7" s="69" t="str">
        <x:v>ANZD-PIDNet v2 archive</x:v>
      </x:c>
      <x:c r="B7" s="69" t="str">
        <x:v>Overall v2 metrics, size-bucket metrics, and runtime metadata</x:v>
      </x:c>
      <x:c r="C7" s="69" t="str">
        <x:v>ANZD_PIDNet_v2_zoom_component_full.zip</x:v>
      </x:c>
    </x:row>
    <x:row r="8">
      <x:c r="A8" s="69" t="str">
        <x:v>Code repository</x:v>
      </x:c>
      <x:c r="B8" s="69" t="str">
        <x:v>Experiment context and reproducibility reference</x:v>
      </x:c>
      <x:c r="C8" s="69" t="str">
        <x:v>github.com/ananyashriram10/small-defect-detection</x:v>
      </x:c>
    </x:row>
    <x:row r="9">
      <x:c r="A9" s="19"/>
      <x:c r="B9" s="19"/>
      <x:c r="C9" s="19"/>
    </x:row>
    <x:row r="10">
      <x:c r="A10" s="62" t="str">
        <x:v>Metric definitions and comparability</x:v>
      </x:c>
      <x:c r="B10" s="62"/>
      <x:c r="C10" s="62"/>
    </x:row>
    <x:row r="11">
      <x:c r="A11" s="68" t="str">
        <x:v>Higher is better</x:v>
      </x:c>
      <x:c r="B11" s="68" t="str">
        <x:v>Precision, recall, size-bucket recall, Dice, IoU, component recall/precision/F1</x:v>
      </x:c>
      <x:c r="C11" s="19"/>
    </x:row>
    <x:row r="12">
      <x:c r="A12" s="69" t="str">
        <x:v>Lower is better</x:v>
      </x:c>
      <x:c r="B12" s="69" t="str">
        <x:v>Inference time (ms/image), false-positive pixels/image</x:v>
      </x:c>
      <x:c r="C12" s="19"/>
    </x:row>
    <x:row r="13">
      <x:c r="A13" s="69" t="str">
        <x:v>FP / image</x:v>
      </x:c>
      <x:c r="B13" s="69" t="str">
        <x:v>False-positive pixels divided by images, matching the segmentation baseline convention</x:v>
      </x:c>
      <x:c r="C13" s="19"/>
    </x:row>
    <x:row r="14">
      <x:c r="A14" s="69" t="str">
        <x:v>Dice and IoU</x:v>
      </x:c>
      <x:c r="B14" s="69" t="str">
        <x:v>Binary semantic segmentation overlap metrics; blank for SAM and SAM2 in the baseline PDF</x:v>
      </x:c>
      <x:c r="C14" s="19"/>
    </x:row>
    <x:row r="15">
      <x:c r="A15" s="69" t="str">
        <x:v>Component metrics</x:v>
      </x:c>
      <x:c r="B15" s="69" t="str">
        <x:v>8-connected predicted components of at least 3 pixels, greedily matched at the stated IoU threshold</x:v>
      </x:c>
      <x:c r="C15" s="19"/>
    </x:row>
    <x:row r="16">
      <x:c r="A16" s="69" t="str">
        <x:v>Inference time</x:v>
      </x:c>
      <x:c r="B16" s="69" t="str">
        <x:v>Model forward plus final bilinear upsampling; data loading and metric computation excluded</x:v>
      </x:c>
      <x:c r="C16" s="19"/>
    </x:row>
    <x:row r="17">
      <x:c r="A17" s="69" t="str">
        <x:v>Split</x:v>
      </x:c>
      <x:c r="B17" s="69" t="str">
        <x:v>Fixed 70/15/15 size-stratified split, seed 42, reused across runs; 8,858 train / 1,892 validation / 1,920 test</x:v>
      </x:c>
      <x:c r="C17" s="19"/>
    </x:row>
    <x:row r="18">
      <x:c r="A18" s="19"/>
      <x:c r="B18" s="19"/>
      <x:c r="C18" s="19"/>
    </x:row>
    <x:row r="19">
      <x:c r="A19" s="19"/>
      <x:c r="B19" s="19"/>
      <x:c r="C19" s="19"/>
    </x:row>
    <x:row r="20">
      <x:c r="A20" s="62" t="str">
        <x:v>Interpretation note</x:v>
      </x:c>
      <x:c r="B20" s="62"/>
      <x:c r="C20" s="62"/>
    </x:row>
    <x:row r="21" ht="34" customHeight="1">
      <x:c r="A21" s="54" t="str">
        <x:v>ANZD v1 is a training-only zoom/component intervention on PIDNet-S with the deployed architecture unchanged. v2 adds a shallow deployed refinement head and validation-only threshold calibration.</x:v>
      </x:c>
      <x:c r="B21" s="54"/>
      <x:c r="C21" s="54"/>
    </x:row>
    <x:row r="22" ht="34" customHeight="1">
      <x:c r="A22" s="54" t="str">
        <x:v>The controlled comparison uses PIDNet-S as the primary base. The broader context table compares against the strongest listed segmentation baseline for each metric, which may be SAM, SAM2, Mask2Former, or PIDNet-S.</x:v>
      </x:c>
      <x:c r="B22" s="54"/>
      <x:c r="C22" s="54"/>
    </x:row>
  </x:sheetData>
  <x:mergeCells>
    <x:mergeCell ref="A1:C1"/>
    <x:mergeCell ref="A10:C10"/>
    <x:mergeCell ref="A20:C20"/>
    <x:mergeCell ref="A21:C21"/>
    <x:mergeCell ref="A22:C22"/>
  </x:mergeCells>
  <x:pageMargins left="0.7" right="0.7" top="0.75" bottom="0.75" header="0.3" footer="0.3"/>
</x:worksheet>
</file>